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56D7CF15-1362-4FF7-B1EB-E495984971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/>
  <c r="F2" i="1"/>
  <c r="G2" i="1"/>
  <c r="C3" i="1"/>
  <c r="D3" i="1"/>
  <c r="F3" i="1"/>
  <c r="G3" i="1"/>
  <c r="C4" i="1"/>
  <c r="D4" i="1"/>
  <c r="F4" i="1"/>
  <c r="G4" i="1"/>
  <c r="C5" i="1"/>
  <c r="D5" i="1"/>
  <c r="F5" i="1"/>
  <c r="G5" i="1"/>
  <c r="C6" i="1"/>
  <c r="D6" i="1"/>
  <c r="F6" i="1"/>
  <c r="G6" i="1"/>
  <c r="C7" i="1"/>
  <c r="D7" i="1"/>
  <c r="F7" i="1"/>
  <c r="G7" i="1"/>
  <c r="C8" i="1"/>
  <c r="D8" i="1"/>
  <c r="F8" i="1"/>
  <c r="G8" i="1"/>
  <c r="C9" i="1"/>
  <c r="D9" i="1"/>
  <c r="F9" i="1"/>
  <c r="G9" i="1"/>
  <c r="C10" i="1"/>
  <c r="D10" i="1"/>
  <c r="F10" i="1"/>
  <c r="G10" i="1"/>
  <c r="C11" i="1"/>
  <c r="D11" i="1"/>
  <c r="F11" i="1"/>
  <c r="G11" i="1"/>
  <c r="C12" i="1"/>
  <c r="D12" i="1"/>
  <c r="F12" i="1"/>
  <c r="G12" i="1"/>
  <c r="C13" i="1"/>
  <c r="D13" i="1"/>
  <c r="F13" i="1"/>
  <c r="G13" i="1"/>
  <c r="C14" i="1"/>
  <c r="D14" i="1"/>
  <c r="F14" i="1"/>
  <c r="G14" i="1"/>
</calcChain>
</file>

<file path=xl/sharedStrings.xml><?xml version="1.0" encoding="utf-8"?>
<sst xmlns="http://schemas.openxmlformats.org/spreadsheetml/2006/main" count="8" uniqueCount="8">
  <si>
    <t>№ спроби</t>
  </si>
  <si>
    <t>Показ для цілі 5 с, с</t>
  </si>
  <si>
    <t>Абсолютна похибка для 5 с, с</t>
  </si>
  <si>
    <t>Відносна похибка для 5 с, %</t>
  </si>
  <si>
    <t>Показ для цілі 11 с, с</t>
  </si>
  <si>
    <t>Абсолютна похибка для 11 с, с</t>
  </si>
  <si>
    <t>Відносна похибка для 11 с, %</t>
  </si>
  <si>
    <t>Висновок: Ми навчилися визначати точність зупинки таймера методом обчислення абсолютної та відносної похибки вимірювань. Оскільки спочатку було знято покази для 5 секунд, а потім для 11 секунд, то можна спостерігати більшу абсолютну похибку для перших ітерацій експерименту. Це результат того, що під час виконання завдання я адаптувався і відповідно точність збільшувалась.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</si>
</sst>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Border="1"/>
    <xf numFmtId="0" fontId="0" fillId="0" borderId="0" xfId="0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Аркуш1!$C$1</c:f>
              <c:strCache>
                <c:ptCount val="1"/>
                <c:pt idx="0">
                  <c:v>Абсолютна похибка для 5 с, 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Аркуш1!$C$2:$C$14</c:f>
              <c:numCache>
                <c:formatCode>General</c:formatCode>
                <c:ptCount val="13"/>
                <c:pt idx="0">
                  <c:v>-0.11000000000000032</c:v>
                </c:pt>
                <c:pt idx="1">
                  <c:v>-0.33999999999999986</c:v>
                </c:pt>
                <c:pt idx="2">
                  <c:v>-0.21999999999999975</c:v>
                </c:pt>
                <c:pt idx="3">
                  <c:v>-8.0000000000000071E-2</c:v>
                </c:pt>
                <c:pt idx="4">
                  <c:v>-8.9999999999999858E-2</c:v>
                </c:pt>
                <c:pt idx="5">
                  <c:v>-8.0000000000000071E-2</c:v>
                </c:pt>
                <c:pt idx="6">
                  <c:v>-0.20000000000000018</c:v>
                </c:pt>
                <c:pt idx="7">
                  <c:v>7.0000000000000284E-2</c:v>
                </c:pt>
                <c:pt idx="8">
                  <c:v>-0.20999999999999996</c:v>
                </c:pt>
                <c:pt idx="9">
                  <c:v>-9.9999999999997868E-3</c:v>
                </c:pt>
                <c:pt idx="10">
                  <c:v>-8.0000000000000071E-2</c:v>
                </c:pt>
                <c:pt idx="11">
                  <c:v>-1.9999999999999574E-2</c:v>
                </c:pt>
                <c:pt idx="12">
                  <c:v>4.0000000000000036E-2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B-4B93-910E-1CD509D12D6C}"/>
            </c:ext>
          </c:extLst>
        </c:ser>
        <c:ser>
          <c:idx val="1"/>
          <c:order val="1"/>
          <c:tx>
            <c:strRef>
              <c:f>{"Абсолютна похибка для 11 с, с"}</c:f>
              <c:strCache>
                <c:ptCount val="1"/>
                <c:pt idx="0">
                  <c:v>Абсолютна похибка для 11 с, 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Аркуш1!F2:F14</c:f>
              <c:numCache>
                <c:formatCode>General</c:formatCode>
                <c:ptCount val="13"/>
                <c:pt idx="0">
                  <c:v>-0.19999999999999929</c:v>
                </c:pt>
                <c:pt idx="1">
                  <c:v>9.9999999999997868E-3</c:v>
                </c:pt>
                <c:pt idx="2">
                  <c:v>-0.11999999999999922</c:v>
                </c:pt>
                <c:pt idx="3">
                  <c:v>-9.9999999999997868E-3</c:v>
                </c:pt>
                <c:pt idx="4">
                  <c:v>-7.0000000000000284E-2</c:v>
                </c:pt>
                <c:pt idx="5">
                  <c:v>-8.0000000000000071E-2</c:v>
                </c:pt>
                <c:pt idx="6">
                  <c:v>-6.0000000000000497E-2</c:v>
                </c:pt>
                <c:pt idx="7">
                  <c:v>0</c:v>
                </c:pt>
                <c:pt idx="8">
                  <c:v>-6.0000000000000497E-2</c:v>
                </c:pt>
                <c:pt idx="9">
                  <c:v>7.0000000000000284E-2</c:v>
                </c:pt>
                <c:pt idx="10">
                  <c:v>-0.14000000000000057</c:v>
                </c:pt>
                <c:pt idx="11">
                  <c:v>0</c:v>
                </c:pt>
                <c:pt idx="12">
                  <c:v>-6.0000000000000497E-2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5CB-4B93-910E-1CD509D12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56680"/>
        <c:axId val="123372040"/>
      </c:lineChart>
      <c:catAx>
        <c:axId val="123356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2040"/>
        <c:crosses val="autoZero"/>
        <c:auto val="1"/>
        <c:lblAlgn val="ctr"/>
        <c:lblOffset val="100"/>
        <c:noMultiLvlLbl val="0"/>
      </c:catAx>
      <c:valAx>
        <c:axId val="12337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Аркуш1!$D$1</c:f>
              <c:strCache>
                <c:ptCount val="1"/>
                <c:pt idx="0">
                  <c:v>Відносна похибка для 5 с,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Аркуш1!$D$2:$D$14</c:f>
              <c:numCache>
                <c:formatCode>General</c:formatCode>
                <c:ptCount val="13"/>
                <c:pt idx="0">
                  <c:v>-2.2000000000000064</c:v>
                </c:pt>
                <c:pt idx="1">
                  <c:v>-6.799999999999998</c:v>
                </c:pt>
                <c:pt idx="2">
                  <c:v>-4.399999999999995</c:v>
                </c:pt>
                <c:pt idx="3">
                  <c:v>-1.6000000000000014</c:v>
                </c:pt>
                <c:pt idx="4">
                  <c:v>-1.7999999999999972</c:v>
                </c:pt>
                <c:pt idx="5">
                  <c:v>-1.6000000000000014</c:v>
                </c:pt>
                <c:pt idx="6">
                  <c:v>-4.0000000000000036</c:v>
                </c:pt>
                <c:pt idx="7">
                  <c:v>1.4000000000000057</c:v>
                </c:pt>
                <c:pt idx="8">
                  <c:v>-4.1999999999999993</c:v>
                </c:pt>
                <c:pt idx="9">
                  <c:v>-0.19999999999999576</c:v>
                </c:pt>
                <c:pt idx="10">
                  <c:v>-1.6000000000000014</c:v>
                </c:pt>
                <c:pt idx="11">
                  <c:v>-0.39999999999999153</c:v>
                </c:pt>
                <c:pt idx="12">
                  <c:v>0.80000000000000071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95-46E7-B5D3-043616D40282}"/>
            </c:ext>
          </c:extLst>
        </c:ser>
        <c:ser>
          <c:idx val="1"/>
          <c:order val="1"/>
          <c:tx>
            <c:strRef>
              <c:f>{"Відносна похибка для 11 с, %"}</c:f>
              <c:strCache>
                <c:ptCount val="1"/>
                <c:pt idx="0">
                  <c:v>Відносна похибка для 11 с,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Аркуш1!G2:G14</c:f>
              <c:numCache>
                <c:formatCode>General</c:formatCode>
                <c:ptCount val="13"/>
                <c:pt idx="0">
                  <c:v>-1.8181818181818119</c:v>
                </c:pt>
                <c:pt idx="1">
                  <c:v>9.0909090909088969E-2</c:v>
                </c:pt>
                <c:pt idx="2">
                  <c:v>-1.0909090909090839</c:v>
                </c:pt>
                <c:pt idx="3">
                  <c:v>-9.0909090909088969E-2</c:v>
                </c:pt>
                <c:pt idx="4">
                  <c:v>-0.63636363636363902</c:v>
                </c:pt>
                <c:pt idx="5">
                  <c:v>-0.72727272727272785</c:v>
                </c:pt>
                <c:pt idx="6">
                  <c:v>-0.54545454545454997</c:v>
                </c:pt>
                <c:pt idx="7">
                  <c:v>0</c:v>
                </c:pt>
                <c:pt idx="8">
                  <c:v>-0.54545454545454997</c:v>
                </c:pt>
                <c:pt idx="9">
                  <c:v>0.63636363636363902</c:v>
                </c:pt>
                <c:pt idx="10">
                  <c:v>-1.272727272727278</c:v>
                </c:pt>
                <c:pt idx="11">
                  <c:v>0</c:v>
                </c:pt>
                <c:pt idx="12">
                  <c:v>-0.54545454545454997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95-46E7-B5D3-043616D40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67463"/>
        <c:axId val="83677703"/>
      </c:lineChart>
      <c:catAx>
        <c:axId val="83667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7703"/>
        <c:crosses val="autoZero"/>
        <c:auto val="1"/>
        <c:lblAlgn val="ctr"/>
        <c:lblOffset val="100"/>
        <c:noMultiLvlLbl val="0"/>
      </c:catAx>
      <c:valAx>
        <c:axId val="8367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1790700</xdr:colOff>
      <xdr:row>29</xdr:row>
      <xdr:rowOff>180975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A267FA44-B94E-CFC5-6F7F-D7214A9EE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180975</xdr:rowOff>
    </xdr:from>
    <xdr:to>
      <xdr:col>7</xdr:col>
      <xdr:colOff>600075</xdr:colOff>
      <xdr:row>29</xdr:row>
      <xdr:rowOff>171450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DCB9CF92-2E8C-F2BA-2A64-EC91EF2EA06A}"/>
            </a:ext>
            <a:ext uri="{147F2762-F138-4A5C-976F-8EAC2B608ADB}">
              <a16:predDERef xmlns:a16="http://schemas.microsoft.com/office/drawing/2014/main" pred="{A267FA44-B94E-CFC5-6F7F-D7214A9EE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1" workbookViewId="0">
      <selection activeCell="B38" sqref="B38"/>
    </sheetView>
  </sheetViews>
  <sheetFormatPr defaultRowHeight="15"/>
  <cols>
    <col min="1" max="1" width="11.7109375" customWidth="1"/>
    <col min="2" max="2" width="20.7109375" customWidth="1"/>
    <col min="3" max="3" width="28.85546875" customWidth="1"/>
    <col min="4" max="4" width="27" customWidth="1"/>
    <col min="5" max="5" width="21.140625" customWidth="1"/>
    <col min="6" max="6" width="28.7109375" customWidth="1"/>
    <col min="7" max="7" width="27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>
        <v>4.8899999999999997</v>
      </c>
      <c r="C2">
        <f>B2-5</f>
        <v>-0.11000000000000032</v>
      </c>
      <c r="D2">
        <f>C2/5*100</f>
        <v>-2.2000000000000064</v>
      </c>
      <c r="E2">
        <v>10.8</v>
      </c>
      <c r="F2">
        <f>E2-11</f>
        <v>-0.19999999999999929</v>
      </c>
      <c r="G2">
        <f>F2/11*100</f>
        <v>-1.8181818181818119</v>
      </c>
    </row>
    <row r="3" spans="1:7">
      <c r="A3">
        <v>2</v>
      </c>
      <c r="B3">
        <v>4.66</v>
      </c>
      <c r="C3">
        <f t="shared" ref="C3:C14" si="0">B3-5</f>
        <v>-0.33999999999999986</v>
      </c>
      <c r="D3">
        <f t="shared" ref="D3:D14" si="1">C3/5*100</f>
        <v>-6.799999999999998</v>
      </c>
      <c r="E3">
        <v>11.01</v>
      </c>
      <c r="F3">
        <f t="shared" ref="F3:F14" si="2">E3-11</f>
        <v>9.9999999999997868E-3</v>
      </c>
      <c r="G3">
        <f t="shared" ref="G3:G14" si="3">F3/11*100</f>
        <v>9.0909090909088969E-2</v>
      </c>
    </row>
    <row r="4" spans="1:7">
      <c r="A4">
        <v>3</v>
      </c>
      <c r="B4">
        <v>4.78</v>
      </c>
      <c r="C4">
        <f t="shared" si="0"/>
        <v>-0.21999999999999975</v>
      </c>
      <c r="D4">
        <f t="shared" si="1"/>
        <v>-4.399999999999995</v>
      </c>
      <c r="E4">
        <v>10.88</v>
      </c>
      <c r="F4">
        <f t="shared" si="2"/>
        <v>-0.11999999999999922</v>
      </c>
      <c r="G4">
        <f t="shared" si="3"/>
        <v>-1.0909090909090839</v>
      </c>
    </row>
    <row r="5" spans="1:7">
      <c r="A5">
        <v>4</v>
      </c>
      <c r="B5">
        <v>4.92</v>
      </c>
      <c r="C5">
        <f t="shared" si="0"/>
        <v>-8.0000000000000071E-2</v>
      </c>
      <c r="D5">
        <f t="shared" si="1"/>
        <v>-1.6000000000000014</v>
      </c>
      <c r="E5">
        <v>10.99</v>
      </c>
      <c r="F5">
        <f t="shared" si="2"/>
        <v>-9.9999999999997868E-3</v>
      </c>
      <c r="G5">
        <f t="shared" si="3"/>
        <v>-9.0909090909088969E-2</v>
      </c>
    </row>
    <row r="6" spans="1:7">
      <c r="A6">
        <v>5</v>
      </c>
      <c r="B6">
        <v>4.91</v>
      </c>
      <c r="C6">
        <f t="shared" si="0"/>
        <v>-8.9999999999999858E-2</v>
      </c>
      <c r="D6">
        <f t="shared" si="1"/>
        <v>-1.7999999999999972</v>
      </c>
      <c r="E6">
        <v>10.93</v>
      </c>
      <c r="F6">
        <f t="shared" si="2"/>
        <v>-7.0000000000000284E-2</v>
      </c>
      <c r="G6">
        <f t="shared" si="3"/>
        <v>-0.63636363636363902</v>
      </c>
    </row>
    <row r="7" spans="1:7">
      <c r="A7">
        <v>6</v>
      </c>
      <c r="B7">
        <v>4.92</v>
      </c>
      <c r="C7">
        <f t="shared" si="0"/>
        <v>-8.0000000000000071E-2</v>
      </c>
      <c r="D7">
        <f t="shared" si="1"/>
        <v>-1.6000000000000014</v>
      </c>
      <c r="E7">
        <v>10.92</v>
      </c>
      <c r="F7">
        <f t="shared" si="2"/>
        <v>-8.0000000000000071E-2</v>
      </c>
      <c r="G7">
        <f t="shared" si="3"/>
        <v>-0.72727272727272785</v>
      </c>
    </row>
    <row r="8" spans="1:7">
      <c r="A8">
        <v>7</v>
      </c>
      <c r="B8">
        <v>4.8</v>
      </c>
      <c r="C8">
        <f t="shared" si="0"/>
        <v>-0.20000000000000018</v>
      </c>
      <c r="D8">
        <f t="shared" si="1"/>
        <v>-4.0000000000000036</v>
      </c>
      <c r="E8">
        <v>10.94</v>
      </c>
      <c r="F8">
        <f t="shared" si="2"/>
        <v>-6.0000000000000497E-2</v>
      </c>
      <c r="G8">
        <f t="shared" si="3"/>
        <v>-0.54545454545454997</v>
      </c>
    </row>
    <row r="9" spans="1:7">
      <c r="A9">
        <v>8</v>
      </c>
      <c r="B9">
        <v>5.07</v>
      </c>
      <c r="C9">
        <f t="shared" si="0"/>
        <v>7.0000000000000284E-2</v>
      </c>
      <c r="D9">
        <f t="shared" si="1"/>
        <v>1.4000000000000057</v>
      </c>
      <c r="E9">
        <v>11</v>
      </c>
      <c r="F9">
        <f t="shared" si="2"/>
        <v>0</v>
      </c>
      <c r="G9">
        <f t="shared" si="3"/>
        <v>0</v>
      </c>
    </row>
    <row r="10" spans="1:7">
      <c r="A10">
        <v>9</v>
      </c>
      <c r="B10">
        <v>4.79</v>
      </c>
      <c r="C10">
        <f t="shared" si="0"/>
        <v>-0.20999999999999996</v>
      </c>
      <c r="D10">
        <f t="shared" si="1"/>
        <v>-4.1999999999999993</v>
      </c>
      <c r="E10">
        <v>10.94</v>
      </c>
      <c r="F10">
        <f t="shared" si="2"/>
        <v>-6.0000000000000497E-2</v>
      </c>
      <c r="G10">
        <f t="shared" si="3"/>
        <v>-0.54545454545454997</v>
      </c>
    </row>
    <row r="11" spans="1:7">
      <c r="A11">
        <v>10</v>
      </c>
      <c r="B11">
        <v>4.99</v>
      </c>
      <c r="C11">
        <f t="shared" si="0"/>
        <v>-9.9999999999997868E-3</v>
      </c>
      <c r="D11">
        <f t="shared" si="1"/>
        <v>-0.19999999999999576</v>
      </c>
      <c r="E11">
        <v>11.07</v>
      </c>
      <c r="F11">
        <f t="shared" si="2"/>
        <v>7.0000000000000284E-2</v>
      </c>
      <c r="G11">
        <f t="shared" si="3"/>
        <v>0.63636363636363902</v>
      </c>
    </row>
    <row r="12" spans="1:7">
      <c r="A12">
        <v>11</v>
      </c>
      <c r="B12">
        <v>4.92</v>
      </c>
      <c r="C12">
        <f t="shared" si="0"/>
        <v>-8.0000000000000071E-2</v>
      </c>
      <c r="D12">
        <f t="shared" si="1"/>
        <v>-1.6000000000000014</v>
      </c>
      <c r="E12">
        <v>10.86</v>
      </c>
      <c r="F12">
        <f t="shared" si="2"/>
        <v>-0.14000000000000057</v>
      </c>
      <c r="G12">
        <f t="shared" si="3"/>
        <v>-1.272727272727278</v>
      </c>
    </row>
    <row r="13" spans="1:7">
      <c r="A13">
        <v>12</v>
      </c>
      <c r="B13">
        <v>4.9800000000000004</v>
      </c>
      <c r="C13">
        <f t="shared" si="0"/>
        <v>-1.9999999999999574E-2</v>
      </c>
      <c r="D13">
        <f t="shared" si="1"/>
        <v>-0.39999999999999153</v>
      </c>
      <c r="E13">
        <v>11</v>
      </c>
      <c r="F13">
        <f t="shared" si="2"/>
        <v>0</v>
      </c>
      <c r="G13">
        <f t="shared" si="3"/>
        <v>0</v>
      </c>
    </row>
    <row r="14" spans="1:7">
      <c r="A14">
        <v>13</v>
      </c>
      <c r="B14">
        <v>5.04</v>
      </c>
      <c r="C14">
        <f t="shared" si="0"/>
        <v>4.0000000000000036E-2</v>
      </c>
      <c r="D14">
        <f t="shared" si="1"/>
        <v>0.80000000000000071</v>
      </c>
      <c r="E14">
        <v>10.94</v>
      </c>
      <c r="F14">
        <f t="shared" si="2"/>
        <v>-6.0000000000000497E-2</v>
      </c>
      <c r="G14">
        <f t="shared" si="3"/>
        <v>-0.54545454545454997</v>
      </c>
    </row>
    <row r="32" spans="2:2">
      <c r="B32" s="2"/>
    </row>
    <row r="33" spans="2:7">
      <c r="B33" s="3" t="s">
        <v>7</v>
      </c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  <row r="35" spans="2:7">
      <c r="B35" s="3"/>
      <c r="C35" s="3"/>
      <c r="D35" s="3"/>
      <c r="E35" s="3"/>
      <c r="F35" s="3"/>
      <c r="G35" s="3"/>
    </row>
    <row r="36" spans="2:7">
      <c r="B36" s="3"/>
      <c r="C36" s="3"/>
      <c r="D36" s="3"/>
      <c r="E36" s="3"/>
      <c r="F36" s="3"/>
      <c r="G36" s="3"/>
    </row>
    <row r="37" spans="2:7">
      <c r="B37" s="3"/>
      <c r="C37" s="3"/>
      <c r="D37" s="3"/>
      <c r="E37" s="3"/>
      <c r="F37" s="3"/>
      <c r="G37" s="3"/>
    </row>
  </sheetData>
  <mergeCells count="1">
    <mergeCell ref="B33:G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2026-10-15T09:48:53Z</dcterms:created>
  <dcterms:modified xsi:type="dcterms:W3CDTF">2026-10-15T10:17:50Z</dcterms:modified>
  <cp:category/>
  <cp:contentStatus/>
</cp:coreProperties>
</file>